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"/>
    </mc:Choice>
  </mc:AlternateContent>
  <xr:revisionPtr revIDLastSave="0" documentId="13_ncr:1_{8D957EB5-EF89-4151-846E-0CA7C621DE0B}" xr6:coauthVersionLast="47" xr6:coauthVersionMax="47" xr10:uidLastSave="{00000000-0000-0000-0000-000000000000}"/>
  <bookViews>
    <workbookView xWindow="-108" yWindow="-108" windowWidth="23256" windowHeight="12456" xr2:uid="{DABED91F-31A2-4CF1-B21E-363DB77F7532}"/>
  </bookViews>
  <sheets>
    <sheet name="GAMBLER PANT" sheetId="1" r:id="rId1"/>
  </sheets>
  <definedNames>
    <definedName name="_xlnm._FilterDatabase" localSheetId="0" hidden="1">'GAMBLER PANT'!$A$20:$R$21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R23" i="1" l="1"/>
  <c r="R24" i="1" s="1"/>
  <c r="R25" i="1" l="1"/>
  <c r="R26" i="1" s="1"/>
  <c r="R29" i="1" s="1"/>
  <c r="R33" i="1" l="1"/>
  <c r="R35" i="1" s="1"/>
  <c r="R36" i="1" s="1"/>
</calcChain>
</file>

<file path=xl/sharedStrings.xml><?xml version="1.0" encoding="utf-8"?>
<sst xmlns="http://schemas.openxmlformats.org/spreadsheetml/2006/main" count="85" uniqueCount="84">
  <si>
    <t xml:space="preserve">COSTING SHEET </t>
  </si>
  <si>
    <t>CF GLOBAL VIET NAM CORPORATION</t>
  </si>
  <si>
    <t>430 ST., VAN PHUC WARD, HA DONG DISTRICT</t>
  </si>
  <si>
    <t>Style#</t>
  </si>
  <si>
    <t xml:space="preserve">25516A      </t>
  </si>
  <si>
    <t>Customer</t>
  </si>
  <si>
    <t xml:space="preserve">DAK     </t>
  </si>
  <si>
    <t>Stl. name</t>
  </si>
  <si>
    <t xml:space="preserve">224006004 GAMBLER PANT                             </t>
  </si>
  <si>
    <t>Program#</t>
  </si>
  <si>
    <t xml:space="preserve">DAKFW26SMS  </t>
  </si>
  <si>
    <t>Stl. P/O</t>
  </si>
  <si>
    <t xml:space="preserve">SMSFW26                  </t>
  </si>
  <si>
    <t>Prg.Name</t>
  </si>
  <si>
    <t xml:space="preserve">LEVY DAKINE FALL WINTER26 SMS COSTING 01                                        </t>
  </si>
  <si>
    <t>Stl. Code</t>
  </si>
  <si>
    <t>Season</t>
  </si>
  <si>
    <t xml:space="preserve">FALL      </t>
  </si>
  <si>
    <t>Order qty</t>
  </si>
  <si>
    <t>Year</t>
  </si>
  <si>
    <t>Delivery</t>
  </si>
  <si>
    <t>Net cost (Mtr+Waste+Finance)</t>
  </si>
  <si>
    <t>Material cost</t>
  </si>
  <si>
    <t>CM</t>
  </si>
  <si>
    <t>Finance %</t>
  </si>
  <si>
    <t>Courier</t>
  </si>
  <si>
    <t>Waste %</t>
  </si>
  <si>
    <t>Admin %</t>
  </si>
  <si>
    <t>Surcharge $</t>
  </si>
  <si>
    <t>Calculated FOB</t>
  </si>
  <si>
    <t>Extra $</t>
  </si>
  <si>
    <t>Agreed FOB</t>
  </si>
  <si>
    <t>Inspect $</t>
  </si>
  <si>
    <t>Testing</t>
  </si>
  <si>
    <t>Position</t>
  </si>
  <si>
    <t>Type</t>
  </si>
  <si>
    <t>Mtr#</t>
  </si>
  <si>
    <t>Mtr.Code</t>
  </si>
  <si>
    <t>Material Name</t>
  </si>
  <si>
    <t>Dimens.</t>
  </si>
  <si>
    <t>Rate</t>
  </si>
  <si>
    <t>Price</t>
  </si>
  <si>
    <t>Supplier</t>
  </si>
  <si>
    <t>Country</t>
  </si>
  <si>
    <t>Cif Price</t>
  </si>
  <si>
    <t>FOB price</t>
  </si>
  <si>
    <t>Exwork price</t>
  </si>
  <si>
    <t>Remark:</t>
  </si>
  <si>
    <t>TOTAL</t>
  </si>
  <si>
    <t>Waste (3%):</t>
  </si>
  <si>
    <t>Finance (3%):</t>
  </si>
  <si>
    <t>Total NET:</t>
  </si>
  <si>
    <t>CM :</t>
  </si>
  <si>
    <t>Admin</t>
  </si>
  <si>
    <t>Testing fee</t>
  </si>
  <si>
    <t>Freight</t>
  </si>
  <si>
    <t>Standard FOB price :</t>
  </si>
  <si>
    <t>Upcharge Rate</t>
  </si>
  <si>
    <t>Upcharge</t>
  </si>
  <si>
    <t>Final FOB</t>
  </si>
  <si>
    <t>Vải</t>
  </si>
  <si>
    <t>Vị trí sử dụng</t>
  </si>
  <si>
    <t>Phân loại</t>
  </si>
  <si>
    <t>Mã code item</t>
  </si>
  <si>
    <t>Code item của nhà cung cấp</t>
  </si>
  <si>
    <t xml:space="preserve">Tên item, mô tả đầy đủ </t>
  </si>
  <si>
    <t>Kích thước: Khổ, Bản rộng, Độ dài,…</t>
  </si>
  <si>
    <t>Kí hiệu vải</t>
  </si>
  <si>
    <t>Màu sắc</t>
  </si>
  <si>
    <t>Đơn vị đo, đơn vị tính</t>
  </si>
  <si>
    <t>Giá bán cho khách</t>
  </si>
  <si>
    <t>Giá mua vào</t>
  </si>
  <si>
    <t>Giá mua vào cần phân theo các loại: FOB, EXW, DAP (nên cho tạo mới giá theo phân loại)</t>
  </si>
  <si>
    <t>Nhà cung cấp</t>
  </si>
  <si>
    <t>Nước xuất sứ</t>
  </si>
  <si>
    <t>est_qty</t>
  </si>
  <si>
    <t>Shell/Color_item</t>
  </si>
  <si>
    <t>Shell/Color_name</t>
  </si>
  <si>
    <t>SL Ước tính</t>
  </si>
  <si>
    <t>SL Thực tế</t>
  </si>
  <si>
    <t>Act_qty</t>
  </si>
  <si>
    <t>Giá EXW</t>
  </si>
  <si>
    <t>Tổng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</si>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</sst>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XDR&quot;* #,##0.00_-;\-&quot;XDR&quot;* #,##0.00_-;_-&quot;XDR&quot;* &quot;-&quot;??_-;_-@_-"/>
    <numFmt numFmtId="165" formatCode="_-[$$-409]* #,##0.000_ ;_-[$$-409]* \-#,##0.000\ ;_-[$$-409]* &quot;-&quot;??_ ;_-@_ "/>
    <numFmt numFmtId="166" formatCode="0.00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3" fillId="0" borderId="8" xfId="0" quotePrefix="1" applyFont="1" applyBorder="1" applyAlignment="1">
      <alignment horizontal="left" vertical="top" wrapText="1"/>
    </xf>
    <xf numFmtId="0" fontId="3" fillId="0" borderId="9" xfId="0" quotePrefix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5" fontId="3" fillId="0" borderId="9" xfId="0" quotePrefix="1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5" fontId="3" fillId="0" borderId="0" xfId="1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5" fontId="2" fillId="3" borderId="0" xfId="1" applyNumberFormat="1" applyFont="1" applyFill="1" applyAlignment="1">
      <alignment horizontal="left" vertical="center"/>
    </xf>
    <xf numFmtId="165" fontId="2" fillId="0" borderId="11" xfId="1" applyNumberFormat="1" applyFont="1" applyBorder="1" applyAlignment="1">
      <alignment horizontal="left" vertical="center"/>
    </xf>
    <xf numFmtId="166" fontId="3" fillId="0" borderId="9" xfId="0" quotePrefix="1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2D3-2052-432A-BE81-39FA5147874D}">
  <dimension ref="A1:T36"/>
  <sheetViews>
    <sheetView tabSelected="1" workbookViewId="0">
      <pane xSplit="2" topLeftCell="C1" activePane="topRight" state="frozen"/>
      <selection activeCell="A3" sqref="A3"/>
      <selection pane="topRight" activeCell="C27" sqref="C27"/>
    </sheetView>
  </sheetViews>
  <sheetFormatPr defaultColWidth="8.8984375" defaultRowHeight="12" x14ac:dyDescent="0.25"/>
  <cols>
    <col min="1" max="1" width="20.09765625" style="4" customWidth="1"/>
    <col min="2" max="2" width="10.59765625" style="4" bestFit="1" customWidth="1"/>
    <col min="3" max="3" width="14.09765625" style="4" customWidth="1"/>
    <col min="4" max="4" width="28.8984375" style="4" customWidth="1"/>
    <col min="5" max="5" width="23.296875" style="4" customWidth="1"/>
    <col min="6" max="6" width="46.296875" style="4" bestFit="1" customWidth="1"/>
    <col min="7" max="7" width="14.8984375" style="4" customWidth="1"/>
    <col min="8" max="8" width="14.69921875" style="4" customWidth="1"/>
    <col min="9" max="10" width="13.3984375" style="4" customWidth="1"/>
    <col min="11" max="11" width="19.19921875" style="4" customWidth="1"/>
    <col min="12" max="12" width="12.8984375" style="4" customWidth="1"/>
    <col min="13" max="13" width="9.69921875" style="4" bestFit="1" customWidth="1"/>
    <col min="14" max="14" width="16" style="4" customWidth="1"/>
    <col min="15" max="15" width="13.09765625" style="4" bestFit="1" customWidth="1"/>
    <col min="16" max="16" width="16.59765625" style="4" customWidth="1"/>
    <col min="17" max="17" width="13.59765625" style="4" customWidth="1"/>
    <col min="18" max="18" width="13.3984375" style="4" customWidth="1"/>
    <col min="19" max="16384" width="8.8984375" style="4"/>
  </cols>
  <sheetData>
    <row r="1" spans="1:12" x14ac:dyDescent="0.25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</row>
    <row r="2" spans="1:12" x14ac:dyDescent="0.25">
      <c r="A2" s="5"/>
      <c r="B2" s="6"/>
      <c r="C2" s="6"/>
      <c r="D2" s="6"/>
      <c r="E2" s="6"/>
      <c r="F2" s="6" t="s">
        <v>2</v>
      </c>
      <c r="G2" s="6"/>
      <c r="H2" s="6"/>
      <c r="I2" s="6"/>
      <c r="J2" s="6"/>
      <c r="K2" s="6"/>
      <c r="L2" s="6"/>
    </row>
    <row r="4" spans="1:12" x14ac:dyDescent="0.25">
      <c r="A4" s="4" t="s">
        <v>3</v>
      </c>
      <c r="B4" s="4" t="s">
        <v>4</v>
      </c>
      <c r="E4" s="4" t="s">
        <v>5</v>
      </c>
      <c r="F4" s="4" t="s">
        <v>6</v>
      </c>
    </row>
    <row r="5" spans="1:12" x14ac:dyDescent="0.25">
      <c r="A5" s="4" t="s">
        <v>7</v>
      </c>
      <c r="B5" s="4" t="s">
        <v>8</v>
      </c>
      <c r="E5" s="4" t="s">
        <v>9</v>
      </c>
      <c r="F5" s="4" t="s">
        <v>10</v>
      </c>
    </row>
    <row r="6" spans="1:12" x14ac:dyDescent="0.25">
      <c r="A6" s="4" t="s">
        <v>11</v>
      </c>
      <c r="B6" s="4" t="s">
        <v>12</v>
      </c>
      <c r="E6" s="4" t="s">
        <v>13</v>
      </c>
      <c r="F6" s="4" t="s">
        <v>14</v>
      </c>
    </row>
    <row r="7" spans="1:12" x14ac:dyDescent="0.25">
      <c r="A7" s="4" t="s">
        <v>15</v>
      </c>
      <c r="B7" s="4">
        <v>224006004</v>
      </c>
      <c r="E7" s="4" t="s">
        <v>16</v>
      </c>
      <c r="F7" s="4" t="s">
        <v>17</v>
      </c>
    </row>
    <row r="8" spans="1:12" x14ac:dyDescent="0.25">
      <c r="A8" s="4" t="s">
        <v>18</v>
      </c>
      <c r="B8" s="4">
        <v>2</v>
      </c>
      <c r="E8" s="4" t="s">
        <v>19</v>
      </c>
      <c r="F8" s="4">
        <v>2025</v>
      </c>
    </row>
    <row r="9" spans="1:12" x14ac:dyDescent="0.25">
      <c r="A9" s="4" t="s">
        <v>20</v>
      </c>
      <c r="B9" s="4">
        <v>45741</v>
      </c>
      <c r="E9" s="4" t="s">
        <v>21</v>
      </c>
      <c r="F9" s="4">
        <v>14.94</v>
      </c>
    </row>
    <row r="10" spans="1:12" x14ac:dyDescent="0.25">
      <c r="A10" s="4" t="s">
        <v>22</v>
      </c>
      <c r="B10" s="4">
        <v>14.94</v>
      </c>
      <c r="E10" s="4" t="s">
        <v>23</v>
      </c>
    </row>
    <row r="11" spans="1:12" x14ac:dyDescent="0.25">
      <c r="A11" s="4" t="s">
        <v>24</v>
      </c>
      <c r="E11" s="4" t="s">
        <v>25</v>
      </c>
    </row>
    <row r="12" spans="1:12" x14ac:dyDescent="0.25">
      <c r="A12" s="4" t="s">
        <v>26</v>
      </c>
      <c r="E12" s="4" t="s">
        <v>27</v>
      </c>
    </row>
    <row r="13" spans="1:12" ht="13.8" x14ac:dyDescent="0.25">
      <c r="A13" s="4" t="s">
        <v>28</v>
      </c>
      <c r="E13" s="4" t="s">
        <v>29</v>
      </c>
      <c r="F13" s="4">
        <v>14.94</v>
      </c>
      <c r="I13"/>
    </row>
    <row r="14" spans="1:12" ht="13.8" x14ac:dyDescent="0.25">
      <c r="A14" s="4" t="s">
        <v>30</v>
      </c>
      <c r="E14" s="4" t="s">
        <v>31</v>
      </c>
      <c r="I14"/>
    </row>
    <row r="15" spans="1:12" x14ac:dyDescent="0.25">
      <c r="A15" s="4" t="s">
        <v>32</v>
      </c>
    </row>
    <row r="16" spans="1:12" x14ac:dyDescent="0.25">
      <c r="A16" s="4" t="s">
        <v>33</v>
      </c>
    </row>
    <row r="17" spans="1:20" customFormat="1" ht="13.8" x14ac:dyDescent="0.25"/>
    <row r="18" spans="1:20" x14ac:dyDescent="0.25">
      <c r="P18" s="23" t="s">
        <v>72</v>
      </c>
    </row>
    <row r="19" spans="1:20" x14ac:dyDescent="0.25">
      <c r="A19" s="23" t="s">
        <v>61</v>
      </c>
      <c r="B19" s="23" t="s">
        <v>62</v>
      </c>
      <c r="C19" s="23" t="s">
        <v>63</v>
      </c>
      <c r="D19" s="23" t="s">
        <v>64</v>
      </c>
      <c r="E19" s="23" t="s">
        <v>65</v>
      </c>
      <c r="F19" s="23" t="s">
        <v>66</v>
      </c>
      <c r="G19" s="23" t="s">
        <v>67</v>
      </c>
      <c r="H19" s="23" t="s">
        <v>68</v>
      </c>
      <c r="I19" s="23" t="s">
        <v>78</v>
      </c>
      <c r="J19" s="23" t="s">
        <v>79</v>
      </c>
      <c r="K19" s="23" t="s">
        <v>69</v>
      </c>
      <c r="L19" s="23" t="s">
        <v>83</v>
      </c>
      <c r="M19" s="23" t="s">
        <v>73</v>
      </c>
      <c r="N19" s="23" t="s">
        <v>74</v>
      </c>
      <c r="O19" s="23" t="s">
        <v>70</v>
      </c>
      <c r="P19" s="23" t="s">
        <v>71</v>
      </c>
      <c r="Q19" s="23" t="s">
        <v>81</v>
      </c>
      <c r="R19" s="23" t="s">
        <v>82</v>
      </c>
      <c r="S19" s="23"/>
      <c r="T19" s="23"/>
    </row>
    <row r="20" spans="1:20" x14ac:dyDescent="0.25">
      <c r="A20" s="7" t="s">
        <v>34</v>
      </c>
      <c r="B20" s="8" t="s">
        <v>35</v>
      </c>
      <c r="C20" s="8" t="s">
        <v>36</v>
      </c>
      <c r="D20" s="8" t="s">
        <v>37</v>
      </c>
      <c r="E20" s="8" t="s">
        <v>38</v>
      </c>
      <c r="F20" s="8" t="s">
        <v>39</v>
      </c>
      <c r="G20" s="8" t="s">
        <v>76</v>
      </c>
      <c r="H20" s="8" t="s">
        <v>77</v>
      </c>
      <c r="I20" s="8" t="s">
        <v>75</v>
      </c>
      <c r="J20" s="8" t="s">
        <v>80</v>
      </c>
      <c r="K20" s="8" t="s">
        <v>40</v>
      </c>
      <c r="L20" s="8" t="s">
        <v>41</v>
      </c>
      <c r="M20" s="8" t="s">
        <v>42</v>
      </c>
      <c r="N20" s="8" t="s">
        <v>43</v>
      </c>
      <c r="O20" s="8" t="s">
        <v>44</v>
      </c>
      <c r="P20" s="8" t="s">
        <v>45</v>
      </c>
      <c r="Q20" s="9" t="s">
        <v>46</v>
      </c>
      <c r="R20" s="8" t="s">
        <v>48</v>
      </c>
    </row>
    <row r="21" spans="1:20" x14ac:dyDescent="0.25">
      <c r="A21" s="10"/>
      <c r="B21" s="11"/>
      <c r="C21" s="11"/>
      <c r="D21" s="11"/>
      <c r="E21" s="11"/>
      <c r="F21" s="11"/>
      <c r="G21" s="11"/>
      <c r="H21" s="11"/>
      <c r="I21" s="22"/>
      <c r="J21" s="22"/>
      <c r="K21" s="11"/>
      <c r="L21" s="11"/>
      <c r="M21" s="11"/>
      <c r="N21" s="11"/>
      <c r="O21" s="11"/>
      <c r="P21" s="11"/>
      <c r="Q21" s="12"/>
      <c r="R21" s="16"/>
      <c r="T21" s="23" t="s">
        <v>60</v>
      </c>
    </row>
    <row r="22" spans="1:20" x14ac:dyDescent="0.25">
      <c r="R22" s="17"/>
    </row>
    <row r="23" spans="1:20" x14ac:dyDescent="0.25">
      <c r="A23" s="4" t="s">
        <v>47</v>
      </c>
      <c r="Q23" s="13" t="s">
        <v>22</v>
      </c>
      <c r="R23" s="18">
        <f>SUM(R21:R21)</f>
        <v>0</v>
      </c>
    </row>
    <row r="24" spans="1:20" x14ac:dyDescent="0.25">
      <c r="Q24" s="14" t="s">
        <v>49</v>
      </c>
      <c r="R24" s="18">
        <f>R23*3%</f>
        <v>0</v>
      </c>
    </row>
    <row r="25" spans="1:20" x14ac:dyDescent="0.25">
      <c r="Q25" s="14" t="s">
        <v>50</v>
      </c>
      <c r="R25" s="18">
        <f>(R23+R24)*3%</f>
        <v>0</v>
      </c>
    </row>
    <row r="26" spans="1:20" x14ac:dyDescent="0.25">
      <c r="Q26" s="14" t="s">
        <v>51</v>
      </c>
      <c r="R26" s="18">
        <f>R23+R24+R25</f>
        <v>0</v>
      </c>
    </row>
    <row r="27" spans="1:20" x14ac:dyDescent="0.25">
      <c r="Q27" s="14" t="s">
        <v>52</v>
      </c>
      <c r="R27" s="18">
        <v>17</v>
      </c>
    </row>
    <row r="28" spans="1:20" x14ac:dyDescent="0.25">
      <c r="Q28" s="14"/>
      <c r="R28" s="18"/>
    </row>
    <row r="29" spans="1:20" x14ac:dyDescent="0.25">
      <c r="Q29" s="14" t="s">
        <v>53</v>
      </c>
      <c r="R29" s="18">
        <f>(R26+R27)*0.1</f>
        <v>1.7000000000000002</v>
      </c>
    </row>
    <row r="30" spans="1:20" x14ac:dyDescent="0.25">
      <c r="Q30" s="14" t="s">
        <v>54</v>
      </c>
      <c r="R30" s="18">
        <f>150/1200</f>
        <v>0.125</v>
      </c>
    </row>
    <row r="31" spans="1:20" x14ac:dyDescent="0.25">
      <c r="Q31" s="14" t="s">
        <v>55</v>
      </c>
      <c r="R31" s="18">
        <v>0.7</v>
      </c>
    </row>
    <row r="32" spans="1:20" x14ac:dyDescent="0.25">
      <c r="Q32" s="14"/>
      <c r="R32" s="18"/>
    </row>
    <row r="33" spans="17:18" x14ac:dyDescent="0.25">
      <c r="Q33" s="19" t="s">
        <v>56</v>
      </c>
      <c r="R33" s="20">
        <f>R31+R30+R29+R27+R26</f>
        <v>19.524999999999999</v>
      </c>
    </row>
    <row r="34" spans="17:18" x14ac:dyDescent="0.25">
      <c r="Q34" s="14" t="s">
        <v>57</v>
      </c>
      <c r="R34" s="18"/>
    </row>
    <row r="35" spans="17:18" x14ac:dyDescent="0.25">
      <c r="Q35" s="14" t="s">
        <v>58</v>
      </c>
      <c r="R35" s="18">
        <f>R33*R34</f>
        <v>0</v>
      </c>
    </row>
    <row r="36" spans="17:18" ht="12.6" thickBot="1" x14ac:dyDescent="0.3">
      <c r="Q36" s="15" t="s">
        <v>59</v>
      </c>
      <c r="R36" s="21">
        <f>R35+R33</f>
        <v>19.524999999999999</v>
      </c>
    </row>
  </sheetData>
  <autoFilter ref="A20:R21" xr:uid="{8F5A22D3-2052-432A-BE81-39FA5147874D}">
    <sortState xmlns:xlrd2="http://schemas.microsoft.com/office/spreadsheetml/2017/richdata2" ref="A21:R21">
      <sortCondition ref="B20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GAMBLER 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2025-04-21T08:41:15Z</dcterms:created>
  <dcterms:modified xsi:type="dcterms:W3CDTF">2025-05-03T09:44:15Z</dcterms:modified>
</cp:coreProperties>
</file>