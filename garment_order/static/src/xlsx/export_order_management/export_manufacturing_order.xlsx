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"/>
    </mc:Choice>
  </mc:AlternateContent>
  <xr:revisionPtr revIDLastSave="0" documentId="13_ncr:1_{3508E414-86EB-4A0C-9EE5-253A1F461280}" xr6:coauthVersionLast="47" xr6:coauthVersionMax="47" xr10:uidLastSave="{00000000-0000-0000-0000-000000000000}"/>
  <bookViews>
    <workbookView xWindow="-108" yWindow="-108" windowWidth="23256" windowHeight="12456" tabRatio="863" xr2:uid="{00000000-000D-0000-FFFF-FFFF00000000}"/>
  </bookViews>
  <sheets>
    <sheet name="VINVALLEN WOMEN PANT" sheetId="16" r:id="rId1"/>
  </sheets>
  <definedNames>
    <definedName name="_xlnm.Print_Area" localSheetId="0">'VINVALLEN WOMEN PANT'!$A$1:$O$50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6" l="1"/>
  <c r="M38" i="16"/>
  <c r="E33" i="16"/>
  <c r="D33" i="16"/>
  <c r="C33" i="16"/>
  <c r="L33" i="16"/>
  <c r="K33" i="16"/>
  <c r="J33" i="16"/>
  <c r="I33" i="16"/>
  <c r="H33" i="16"/>
  <c r="G33" i="16"/>
  <c r="F33" i="16"/>
  <c r="E37" i="16"/>
  <c r="D38" i="16"/>
  <c r="C37" i="16"/>
  <c r="B29" i="16"/>
  <c r="B28" i="16"/>
  <c r="B27" i="16"/>
  <c r="B26" i="16"/>
  <c r="B25" i="16"/>
  <c r="B38" i="16"/>
  <c r="B37" i="16"/>
  <c r="B36" i="16"/>
  <c r="B34" i="16"/>
  <c r="B35" i="16"/>
  <c r="A26" i="16"/>
  <c r="A27" i="16"/>
  <c r="A28" i="16"/>
  <c r="A29" i="16"/>
  <c r="M28" i="16"/>
  <c r="M19" i="16"/>
  <c r="D37" i="16"/>
  <c r="F37" i="16"/>
  <c r="G37" i="16"/>
  <c r="H37" i="16"/>
  <c r="I37" i="16"/>
  <c r="J37" i="16"/>
  <c r="K37" i="16"/>
  <c r="L37" i="16"/>
  <c r="A37" i="16"/>
  <c r="A36" i="16"/>
  <c r="A38" i="16"/>
  <c r="A25" i="16"/>
  <c r="M18" i="16"/>
  <c r="M27" i="16"/>
  <c r="M36" i="16" s="1"/>
  <c r="C36" i="16"/>
  <c r="D36" i="16"/>
  <c r="E36" i="16"/>
  <c r="F36" i="16"/>
  <c r="G36" i="16"/>
  <c r="H36" i="16"/>
  <c r="I36" i="16"/>
  <c r="J36" i="16"/>
  <c r="K36" i="16"/>
  <c r="L36" i="16"/>
  <c r="C38" i="16"/>
  <c r="C35" i="16"/>
  <c r="C30" i="16"/>
  <c r="C21" i="16"/>
  <c r="M16" i="16"/>
  <c r="E38" i="16"/>
  <c r="F38" i="16"/>
  <c r="G38" i="16"/>
  <c r="H38" i="16"/>
  <c r="I38" i="16"/>
  <c r="J38" i="16"/>
  <c r="K38" i="16"/>
  <c r="L38" i="16"/>
  <c r="D35" i="16"/>
  <c r="E35" i="16"/>
  <c r="F35" i="16"/>
  <c r="G35" i="16"/>
  <c r="H35" i="16"/>
  <c r="I35" i="16"/>
  <c r="J35" i="16"/>
  <c r="K35" i="16"/>
  <c r="L35" i="16"/>
  <c r="D34" i="16"/>
  <c r="E34" i="16"/>
  <c r="F34" i="16"/>
  <c r="G34" i="16"/>
  <c r="H34" i="16"/>
  <c r="I34" i="16"/>
  <c r="J34" i="16"/>
  <c r="K34" i="16"/>
  <c r="L34" i="16"/>
  <c r="C34" i="16"/>
  <c r="L30" i="16"/>
  <c r="K30" i="16"/>
  <c r="J30" i="16"/>
  <c r="I30" i="16"/>
  <c r="H30" i="16"/>
  <c r="G30" i="16"/>
  <c r="F30" i="16"/>
  <c r="E30" i="16"/>
  <c r="D30" i="16"/>
  <c r="M29" i="16"/>
  <c r="M26" i="16"/>
  <c r="M25" i="16"/>
  <c r="A35" i="16"/>
  <c r="A34" i="16"/>
  <c r="L21" i="16"/>
  <c r="K21" i="16"/>
  <c r="J21" i="16"/>
  <c r="I21" i="16"/>
  <c r="H21" i="16"/>
  <c r="G21" i="16"/>
  <c r="F21" i="16"/>
  <c r="E21" i="16"/>
  <c r="D21" i="16"/>
  <c r="M20" i="16"/>
  <c r="M17" i="16"/>
  <c r="M37" i="16" l="1"/>
  <c r="M35" i="16"/>
  <c r="C39" i="16"/>
  <c r="L39" i="16"/>
  <c r="I39" i="16"/>
  <c r="M30" i="16"/>
  <c r="M34" i="16"/>
  <c r="G39" i="16"/>
  <c r="K39" i="16"/>
  <c r="H39" i="16"/>
  <c r="J39" i="16"/>
  <c r="F39" i="16"/>
  <c r="D39" i="16"/>
  <c r="M21" i="16"/>
  <c r="E39" i="16"/>
  <c r="M39" i="16" l="1"/>
</calcChain>
</file>

<file path=xl/sharedStrings.xml><?xml version="1.0" encoding="utf-8"?>
<sst xmlns="http://schemas.openxmlformats.org/spreadsheetml/2006/main" count="61" uniqueCount="43">
  <si>
    <t>CF GLOBAL VIET NAM CORPORATION</t>
  </si>
  <si>
    <t>Add: 430 str., Van Phuc Ward, Ha Dong District, Ha Noi City, Vietnam</t>
  </si>
  <si>
    <t>Tel: 84.4.3351262, Fax: 84.4.33512163</t>
  </si>
  <si>
    <t>LỆNH SẢN XUẤT</t>
  </si>
  <si>
    <t xml:space="preserve">Khách hàng: </t>
  </si>
  <si>
    <t xml:space="preserve">Chuyền sx: </t>
  </si>
  <si>
    <t>Style no.:</t>
  </si>
  <si>
    <t>Mô tả sản phẩm:</t>
  </si>
  <si>
    <t>Style name:</t>
  </si>
  <si>
    <t xml:space="preserve">Số lượng: </t>
  </si>
  <si>
    <t xml:space="preserve">Ngày giao hàng: </t>
  </si>
  <si>
    <t>Cập nhật:</t>
  </si>
  <si>
    <t>Ghi chú:</t>
  </si>
  <si>
    <t>COLOR NAME</t>
  </si>
  <si>
    <t>TOTAL</t>
  </si>
  <si>
    <t>THỨ TỰ VÀO CHUYỀN</t>
  </si>
  <si>
    <t>GHI CHÚ:</t>
  </si>
  <si>
    <t>THÊU</t>
  </si>
  <si>
    <t>IN</t>
  </si>
  <si>
    <t>DÒ KIM</t>
  </si>
  <si>
    <t>MẪU:</t>
  </si>
  <si>
    <t>Mẫu xuất hàng:</t>
  </si>
  <si>
    <t>Mẫu test/ Mẫu giặt:</t>
  </si>
  <si>
    <t>Mẫu lưu:</t>
  </si>
  <si>
    <t>Giám Đốc</t>
  </si>
  <si>
    <t>Trưởng phòng kinh doanh</t>
  </si>
  <si>
    <t>(Ký và ghi rõ họ tên)</t>
  </si>
  <si>
    <t>CỘP</t>
  </si>
  <si>
    <t>S.TOTAL</t>
  </si>
  <si>
    <t>GHI CHÚ</t>
  </si>
  <si>
    <t>COLOR CODE</t>
  </si>
  <si>
    <t>TỔNG ĐƠN HÀNG</t>
  </si>
  <si>
    <t>Quản lý đơn hàng</t>
  </si>
  <si>
    <t>NGÀY GIAO HÀNG</t>
  </si>
  <si>
    <t>BULK- PO22199</t>
  </si>
  <si>
    <t>MẪU TOP+LƯU+TEST</t>
  </si>
  <si>
    <t>Người tạo đơn hàng</t>
  </si>
  <si>
    <t xml:space="preserve">Đơn hàng: </t>
  </si>
  <si>
    <t xml:space="preserve">Mã hàng: </t>
  </si>
  <si>
    <t>Mã PO khách hàng:</t>
  </si>
  <si>
    <t xml:space="preserve">Nhà máy sản xuất: </t>
  </si>
  <si>
    <t>Mẫu lưu mỗi màu</t>
  </si>
  <si>
    <t xml:space="preserve">Mẫu lưu mỗi màu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</si>
</sst>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PCS&quot;"/>
    <numFmt numFmtId="165" formatCode="[$-101042A]d\ mmm\ yy;@"/>
    <numFmt numFmtId="166" formatCode="#,##0\ &quot;PCS&quot;"/>
  </numFmts>
  <fonts count="16">
    <font>
      <sz val="11"/>
      <color theme="1"/>
      <name val="Arial"/>
      <family val="2"/>
      <charset val="163"/>
      <scheme val="minor"/>
    </font>
    <font>
      <sz val="12"/>
      <name val=".VnTime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28"/>
      <name val="Times New Roman"/>
      <family val="1"/>
    </font>
    <font>
      <b/>
      <i/>
      <sz val="12"/>
      <name val="Times New Roman"/>
      <family val="1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i/>
      <sz val="12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i/>
      <sz val="10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0" fontId="7" fillId="0" borderId="0">
      <alignment vertical="top"/>
    </xf>
  </cellStyleXfs>
  <cellXfs count="59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quotePrefix="1" applyFont="1" applyAlignment="1">
      <alignment horizontal="left" vertical="center"/>
    </xf>
    <xf numFmtId="16" fontId="2" fillId="0" borderId="0" xfId="1" applyNumberFormat="1" applyFont="1" applyAlignment="1">
      <alignment horizontal="left"/>
    </xf>
    <xf numFmtId="16" fontId="2" fillId="0" borderId="0" xfId="1" applyNumberFormat="1" applyFont="1"/>
    <xf numFmtId="164" fontId="2" fillId="0" borderId="0" xfId="1" applyNumberFormat="1" applyFont="1" applyAlignment="1">
      <alignment horizontal="left"/>
    </xf>
    <xf numFmtId="0" fontId="2" fillId="0" borderId="1" xfId="1" applyFont="1" applyBorder="1"/>
    <xf numFmtId="0" fontId="5" fillId="2" borderId="0" xfId="1" applyFont="1" applyFill="1" applyAlignment="1">
      <alignment horizontal="left" vertical="center"/>
    </xf>
    <xf numFmtId="0" fontId="2" fillId="2" borderId="0" xfId="1" applyFont="1" applyFill="1"/>
    <xf numFmtId="0" fontId="3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1" fontId="3" fillId="0" borderId="7" xfId="3" applyNumberFormat="1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2" applyFont="1" applyAlignment="1">
      <alignment vertical="center"/>
    </xf>
    <xf numFmtId="0" fontId="2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" fontId="3" fillId="0" borderId="9" xfId="3" applyNumberFormat="1" applyFont="1" applyBorder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2" fillId="0" borderId="0" xfId="1" quotePrefix="1" applyFont="1" applyAlignment="1">
      <alignment horizontal="left" vertical="center"/>
    </xf>
    <xf numFmtId="166" fontId="2" fillId="0" borderId="0" xfId="1" applyNumberFormat="1" applyFont="1" applyAlignment="1">
      <alignment horizontal="left"/>
    </xf>
    <xf numFmtId="0" fontId="13" fillId="0" borderId="0" xfId="3" applyFont="1" applyAlignment="1">
      <alignment horizontal="center" vertical="center" wrapText="1"/>
    </xf>
    <xf numFmtId="165" fontId="3" fillId="0" borderId="10" xfId="2" applyNumberFormat="1" applyFont="1" applyBorder="1" applyAlignment="1">
      <alignment horizontal="center" vertical="center"/>
    </xf>
    <xf numFmtId="0" fontId="12" fillId="0" borderId="0" xfId="1" applyFont="1"/>
    <xf numFmtId="165" fontId="12" fillId="2" borderId="0" xfId="1" applyNumberFormat="1" applyFont="1" applyFill="1" applyAlignment="1">
      <alignment horizontal="left"/>
    </xf>
    <xf numFmtId="165" fontId="8" fillId="0" borderId="10" xfId="2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" fontId="2" fillId="0" borderId="0" xfId="1" applyNumberFormat="1" applyFont="1"/>
    <xf numFmtId="1" fontId="3" fillId="3" borderId="9" xfId="0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top"/>
    </xf>
    <xf numFmtId="0" fontId="2" fillId="0" borderId="0" xfId="1" applyFont="1" applyAlignment="1">
      <alignment horizontal="center" vertical="center"/>
    </xf>
  </cellXfs>
  <cellStyles count="4">
    <cellStyle name="Normal" xfId="0" builtinId="0"/>
    <cellStyle name="Normal 2 2 2" xfId="3" xr:uid="{00000000-0005-0000-0000-000001000000}"/>
    <cellStyle name="Normal 2 4" xfId="1" xr:uid="{00000000-0005-0000-0000-000002000000}"/>
    <cellStyle name="표준_MAKSER FW03 발주서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1264024</xdr:colOff>
      <xdr:row>3</xdr:row>
      <xdr:rowOff>57452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4024" cy="65752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41</xdr:row>
          <xdr:rowOff>28574</xdr:rowOff>
        </xdr:from>
        <xdr:to>
          <xdr:col>7</xdr:col>
          <xdr:colOff>571500</xdr:colOff>
          <xdr:row>42</xdr:row>
          <xdr:rowOff>0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4848225" y="9315449"/>
              <a:ext cx="2495550" cy="171451"/>
              <a:chOff x="2438400" y="12611100"/>
              <a:chExt cx="4171953" cy="238125"/>
            </a:xfrm>
          </xdr:grpSpPr>
          <xdr:sp macro="" textlink="">
            <xdr:nvSpPr>
              <xdr:cNvPr id="20485" name="Check Box 5" hidden="1">
                <a:extLst>
                  <a:ext uri="{63B3BB69-23CF-44E3-9099-C40C66FF867C}">
                    <a14:compatExt spid="_x0000_s20485"/>
                  </a:ext>
                  <a:ext uri="{FF2B5EF4-FFF2-40B4-BE49-F238E27FC236}">
                    <a16:creationId xmlns:a16="http://schemas.microsoft.com/office/drawing/2014/main" id="{00000000-0008-0000-0000-000005500000}"/>
                  </a:ext>
                </a:extLst>
              </xdr:cNvPr>
              <xdr:cNvSpPr/>
            </xdr:nvSpPr>
            <xdr:spPr bwMode="auto">
              <a:xfrm>
                <a:off x="2438400" y="12611100"/>
                <a:ext cx="380998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486" name="Check Box 6" hidden="1">
                <a:extLst>
                  <a:ext uri="{63B3BB69-23CF-44E3-9099-C40C66FF867C}">
                    <a14:compatExt spid="_x0000_s20486"/>
                  </a:ext>
                  <a:ext uri="{FF2B5EF4-FFF2-40B4-BE49-F238E27FC236}">
                    <a16:creationId xmlns:a16="http://schemas.microsoft.com/office/drawing/2014/main" id="{00000000-0008-0000-0000-000006500000}"/>
                  </a:ext>
                </a:extLst>
              </xdr:cNvPr>
              <xdr:cNvSpPr/>
            </xdr:nvSpPr>
            <xdr:spPr bwMode="auto">
              <a:xfrm>
                <a:off x="3676650" y="12611100"/>
                <a:ext cx="380998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487" name="Check Box 7" hidden="1">
                <a:extLst>
                  <a:ext uri="{63B3BB69-23CF-44E3-9099-C40C66FF867C}">
                    <a14:compatExt spid="_x0000_s20487"/>
                  </a:ext>
                  <a:ext uri="{FF2B5EF4-FFF2-40B4-BE49-F238E27FC236}">
                    <a16:creationId xmlns:a16="http://schemas.microsoft.com/office/drawing/2014/main" id="{00000000-0008-0000-0000-000007500000}"/>
                  </a:ext>
                </a:extLst>
              </xdr:cNvPr>
              <xdr:cNvSpPr/>
            </xdr:nvSpPr>
            <xdr:spPr bwMode="auto">
              <a:xfrm>
                <a:off x="4953002" y="12611100"/>
                <a:ext cx="380998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488" name="Check Box 8" hidden="1">
                <a:extLst>
                  <a:ext uri="{63B3BB69-23CF-44E3-9099-C40C66FF867C}">
                    <a14:compatExt spid="_x0000_s20488"/>
                  </a:ext>
                  <a:ext uri="{FF2B5EF4-FFF2-40B4-BE49-F238E27FC236}">
                    <a16:creationId xmlns:a16="http://schemas.microsoft.com/office/drawing/2014/main" id="{00000000-0008-0000-0000-000008500000}"/>
                  </a:ext>
                </a:extLst>
              </xdr:cNvPr>
              <xdr:cNvSpPr/>
            </xdr:nvSpPr>
            <xdr:spPr bwMode="auto">
              <a:xfrm>
                <a:off x="6229355" y="12611100"/>
                <a:ext cx="380998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1334-5E4A-410D-BD81-F3CCF97E1229}">
  <sheetPr>
    <tabColor rgb="FF00B0F0"/>
    <pageSetUpPr fitToPage="1"/>
  </sheetPr>
  <dimension ref="A1:IZ64"/>
  <sheetViews>
    <sheetView showGridLines="0" tabSelected="1" topLeftCell="A14" zoomScale="80" zoomScaleNormal="80" zoomScaleSheetLayoutView="85" workbookViewId="0">
      <selection activeCell="B55" sqref="B55"/>
    </sheetView>
  </sheetViews>
  <sheetFormatPr defaultRowHeight="15.6"/>
  <cols>
    <col min="1" max="1" width="19.59765625" style="1" customWidth="1"/>
    <col min="2" max="2" width="23" style="1" customWidth="1"/>
    <col min="3" max="12" width="9.296875" style="1" customWidth="1"/>
    <col min="13" max="13" width="10.69921875" style="1" customWidth="1"/>
    <col min="14" max="14" width="16.3984375" style="1" customWidth="1"/>
    <col min="15" max="15" width="18.296875" style="1" customWidth="1"/>
    <col min="16" max="230" width="9.09765625" style="1"/>
    <col min="231" max="231" width="16.59765625" style="1" customWidth="1"/>
    <col min="232" max="242" width="7.296875" style="1" customWidth="1"/>
    <col min="243" max="486" width="9.09765625" style="1"/>
    <col min="487" max="487" width="16.59765625" style="1" customWidth="1"/>
    <col min="488" max="498" width="7.296875" style="1" customWidth="1"/>
    <col min="499" max="742" width="9.09765625" style="1"/>
    <col min="743" max="743" width="16.59765625" style="1" customWidth="1"/>
    <col min="744" max="754" width="7.296875" style="1" customWidth="1"/>
    <col min="755" max="998" width="9.09765625" style="1"/>
    <col min="999" max="999" width="16.59765625" style="1" customWidth="1"/>
    <col min="1000" max="1010" width="7.296875" style="1" customWidth="1"/>
    <col min="1011" max="1254" width="9.09765625" style="1"/>
    <col min="1255" max="1255" width="16.59765625" style="1" customWidth="1"/>
    <col min="1256" max="1266" width="7.296875" style="1" customWidth="1"/>
    <col min="1267" max="1510" width="9.09765625" style="1"/>
    <col min="1511" max="1511" width="16.59765625" style="1" customWidth="1"/>
    <col min="1512" max="1522" width="7.296875" style="1" customWidth="1"/>
    <col min="1523" max="1766" width="9.09765625" style="1"/>
    <col min="1767" max="1767" width="16.59765625" style="1" customWidth="1"/>
    <col min="1768" max="1778" width="7.296875" style="1" customWidth="1"/>
    <col min="1779" max="2022" width="9.09765625" style="1"/>
    <col min="2023" max="2023" width="16.59765625" style="1" customWidth="1"/>
    <col min="2024" max="2034" width="7.296875" style="1" customWidth="1"/>
    <col min="2035" max="2278" width="9.09765625" style="1"/>
    <col min="2279" max="2279" width="16.59765625" style="1" customWidth="1"/>
    <col min="2280" max="2290" width="7.296875" style="1" customWidth="1"/>
    <col min="2291" max="2534" width="9.09765625" style="1"/>
    <col min="2535" max="2535" width="16.59765625" style="1" customWidth="1"/>
    <col min="2536" max="2546" width="7.296875" style="1" customWidth="1"/>
    <col min="2547" max="2790" width="9.09765625" style="1"/>
    <col min="2791" max="2791" width="16.59765625" style="1" customWidth="1"/>
    <col min="2792" max="2802" width="7.296875" style="1" customWidth="1"/>
    <col min="2803" max="3046" width="9.09765625" style="1"/>
    <col min="3047" max="3047" width="16.59765625" style="1" customWidth="1"/>
    <col min="3048" max="3058" width="7.296875" style="1" customWidth="1"/>
    <col min="3059" max="3302" width="9.09765625" style="1"/>
    <col min="3303" max="3303" width="16.59765625" style="1" customWidth="1"/>
    <col min="3304" max="3314" width="7.296875" style="1" customWidth="1"/>
    <col min="3315" max="3558" width="9.09765625" style="1"/>
    <col min="3559" max="3559" width="16.59765625" style="1" customWidth="1"/>
    <col min="3560" max="3570" width="7.296875" style="1" customWidth="1"/>
    <col min="3571" max="3814" width="9.09765625" style="1"/>
    <col min="3815" max="3815" width="16.59765625" style="1" customWidth="1"/>
    <col min="3816" max="3826" width="7.296875" style="1" customWidth="1"/>
    <col min="3827" max="4070" width="9.09765625" style="1"/>
    <col min="4071" max="4071" width="16.59765625" style="1" customWidth="1"/>
    <col min="4072" max="4082" width="7.296875" style="1" customWidth="1"/>
    <col min="4083" max="4326" width="9.09765625" style="1"/>
    <col min="4327" max="4327" width="16.59765625" style="1" customWidth="1"/>
    <col min="4328" max="4338" width="7.296875" style="1" customWidth="1"/>
    <col min="4339" max="4582" width="9.09765625" style="1"/>
    <col min="4583" max="4583" width="16.59765625" style="1" customWidth="1"/>
    <col min="4584" max="4594" width="7.296875" style="1" customWidth="1"/>
    <col min="4595" max="4838" width="9.09765625" style="1"/>
    <col min="4839" max="4839" width="16.59765625" style="1" customWidth="1"/>
    <col min="4840" max="4850" width="7.296875" style="1" customWidth="1"/>
    <col min="4851" max="5094" width="9.09765625" style="1"/>
    <col min="5095" max="5095" width="16.59765625" style="1" customWidth="1"/>
    <col min="5096" max="5106" width="7.296875" style="1" customWidth="1"/>
    <col min="5107" max="5350" width="9.09765625" style="1"/>
    <col min="5351" max="5351" width="16.59765625" style="1" customWidth="1"/>
    <col min="5352" max="5362" width="7.296875" style="1" customWidth="1"/>
    <col min="5363" max="5606" width="9.09765625" style="1"/>
    <col min="5607" max="5607" width="16.59765625" style="1" customWidth="1"/>
    <col min="5608" max="5618" width="7.296875" style="1" customWidth="1"/>
    <col min="5619" max="5862" width="9.09765625" style="1"/>
    <col min="5863" max="5863" width="16.59765625" style="1" customWidth="1"/>
    <col min="5864" max="5874" width="7.296875" style="1" customWidth="1"/>
    <col min="5875" max="6118" width="9.09765625" style="1"/>
    <col min="6119" max="6119" width="16.59765625" style="1" customWidth="1"/>
    <col min="6120" max="6130" width="7.296875" style="1" customWidth="1"/>
    <col min="6131" max="6374" width="9.09765625" style="1"/>
    <col min="6375" max="6375" width="16.59765625" style="1" customWidth="1"/>
    <col min="6376" max="6386" width="7.296875" style="1" customWidth="1"/>
    <col min="6387" max="6630" width="9.09765625" style="1"/>
    <col min="6631" max="6631" width="16.59765625" style="1" customWidth="1"/>
    <col min="6632" max="6642" width="7.296875" style="1" customWidth="1"/>
    <col min="6643" max="6886" width="9.09765625" style="1"/>
    <col min="6887" max="6887" width="16.59765625" style="1" customWidth="1"/>
    <col min="6888" max="6898" width="7.296875" style="1" customWidth="1"/>
    <col min="6899" max="7142" width="9.09765625" style="1"/>
    <col min="7143" max="7143" width="16.59765625" style="1" customWidth="1"/>
    <col min="7144" max="7154" width="7.296875" style="1" customWidth="1"/>
    <col min="7155" max="7398" width="9.09765625" style="1"/>
    <col min="7399" max="7399" width="16.59765625" style="1" customWidth="1"/>
    <col min="7400" max="7410" width="7.296875" style="1" customWidth="1"/>
    <col min="7411" max="7654" width="9.09765625" style="1"/>
    <col min="7655" max="7655" width="16.59765625" style="1" customWidth="1"/>
    <col min="7656" max="7666" width="7.296875" style="1" customWidth="1"/>
    <col min="7667" max="7910" width="9.09765625" style="1"/>
    <col min="7911" max="7911" width="16.59765625" style="1" customWidth="1"/>
    <col min="7912" max="7922" width="7.296875" style="1" customWidth="1"/>
    <col min="7923" max="8166" width="9.09765625" style="1"/>
    <col min="8167" max="8167" width="16.59765625" style="1" customWidth="1"/>
    <col min="8168" max="8178" width="7.296875" style="1" customWidth="1"/>
    <col min="8179" max="8422" width="9.09765625" style="1"/>
    <col min="8423" max="8423" width="16.59765625" style="1" customWidth="1"/>
    <col min="8424" max="8434" width="7.296875" style="1" customWidth="1"/>
    <col min="8435" max="8678" width="9.09765625" style="1"/>
    <col min="8679" max="8679" width="16.59765625" style="1" customWidth="1"/>
    <col min="8680" max="8690" width="7.296875" style="1" customWidth="1"/>
    <col min="8691" max="8934" width="9.09765625" style="1"/>
    <col min="8935" max="8935" width="16.59765625" style="1" customWidth="1"/>
    <col min="8936" max="8946" width="7.296875" style="1" customWidth="1"/>
    <col min="8947" max="9190" width="9.09765625" style="1"/>
    <col min="9191" max="9191" width="16.59765625" style="1" customWidth="1"/>
    <col min="9192" max="9202" width="7.296875" style="1" customWidth="1"/>
    <col min="9203" max="9446" width="9.09765625" style="1"/>
    <col min="9447" max="9447" width="16.59765625" style="1" customWidth="1"/>
    <col min="9448" max="9458" width="7.296875" style="1" customWidth="1"/>
    <col min="9459" max="9702" width="9.09765625" style="1"/>
    <col min="9703" max="9703" width="16.59765625" style="1" customWidth="1"/>
    <col min="9704" max="9714" width="7.296875" style="1" customWidth="1"/>
    <col min="9715" max="9958" width="9.09765625" style="1"/>
    <col min="9959" max="9959" width="16.59765625" style="1" customWidth="1"/>
    <col min="9960" max="9970" width="7.296875" style="1" customWidth="1"/>
    <col min="9971" max="10214" width="9.09765625" style="1"/>
    <col min="10215" max="10215" width="16.59765625" style="1" customWidth="1"/>
    <col min="10216" max="10226" width="7.296875" style="1" customWidth="1"/>
    <col min="10227" max="10470" width="9.09765625" style="1"/>
    <col min="10471" max="10471" width="16.59765625" style="1" customWidth="1"/>
    <col min="10472" max="10482" width="7.296875" style="1" customWidth="1"/>
    <col min="10483" max="10726" width="9.09765625" style="1"/>
    <col min="10727" max="10727" width="16.59765625" style="1" customWidth="1"/>
    <col min="10728" max="10738" width="7.296875" style="1" customWidth="1"/>
    <col min="10739" max="10982" width="9.09765625" style="1"/>
    <col min="10983" max="10983" width="16.59765625" style="1" customWidth="1"/>
    <col min="10984" max="10994" width="7.296875" style="1" customWidth="1"/>
    <col min="10995" max="11238" width="9.09765625" style="1"/>
    <col min="11239" max="11239" width="16.59765625" style="1" customWidth="1"/>
    <col min="11240" max="11250" width="7.296875" style="1" customWidth="1"/>
    <col min="11251" max="11494" width="9.09765625" style="1"/>
    <col min="11495" max="11495" width="16.59765625" style="1" customWidth="1"/>
    <col min="11496" max="11506" width="7.296875" style="1" customWidth="1"/>
    <col min="11507" max="11750" width="9.09765625" style="1"/>
    <col min="11751" max="11751" width="16.59765625" style="1" customWidth="1"/>
    <col min="11752" max="11762" width="7.296875" style="1" customWidth="1"/>
    <col min="11763" max="12006" width="9.09765625" style="1"/>
    <col min="12007" max="12007" width="16.59765625" style="1" customWidth="1"/>
    <col min="12008" max="12018" width="7.296875" style="1" customWidth="1"/>
    <col min="12019" max="12262" width="9.09765625" style="1"/>
    <col min="12263" max="12263" width="16.59765625" style="1" customWidth="1"/>
    <col min="12264" max="12274" width="7.296875" style="1" customWidth="1"/>
    <col min="12275" max="12518" width="9.09765625" style="1"/>
    <col min="12519" max="12519" width="16.59765625" style="1" customWidth="1"/>
    <col min="12520" max="12530" width="7.296875" style="1" customWidth="1"/>
    <col min="12531" max="12774" width="9.09765625" style="1"/>
    <col min="12775" max="12775" width="16.59765625" style="1" customWidth="1"/>
    <col min="12776" max="12786" width="7.296875" style="1" customWidth="1"/>
    <col min="12787" max="13030" width="9.09765625" style="1"/>
    <col min="13031" max="13031" width="16.59765625" style="1" customWidth="1"/>
    <col min="13032" max="13042" width="7.296875" style="1" customWidth="1"/>
    <col min="13043" max="13286" width="9.09765625" style="1"/>
    <col min="13287" max="13287" width="16.59765625" style="1" customWidth="1"/>
    <col min="13288" max="13298" width="7.296875" style="1" customWidth="1"/>
    <col min="13299" max="13542" width="9.09765625" style="1"/>
    <col min="13543" max="13543" width="16.59765625" style="1" customWidth="1"/>
    <col min="13544" max="13554" width="7.296875" style="1" customWidth="1"/>
    <col min="13555" max="13798" width="9.09765625" style="1"/>
    <col min="13799" max="13799" width="16.59765625" style="1" customWidth="1"/>
    <col min="13800" max="13810" width="7.296875" style="1" customWidth="1"/>
    <col min="13811" max="14054" width="9.09765625" style="1"/>
    <col min="14055" max="14055" width="16.59765625" style="1" customWidth="1"/>
    <col min="14056" max="14066" width="7.296875" style="1" customWidth="1"/>
    <col min="14067" max="14310" width="9.09765625" style="1"/>
    <col min="14311" max="14311" width="16.59765625" style="1" customWidth="1"/>
    <col min="14312" max="14322" width="7.296875" style="1" customWidth="1"/>
    <col min="14323" max="14566" width="9.09765625" style="1"/>
    <col min="14567" max="14567" width="16.59765625" style="1" customWidth="1"/>
    <col min="14568" max="14578" width="7.296875" style="1" customWidth="1"/>
    <col min="14579" max="14822" width="9.09765625" style="1"/>
    <col min="14823" max="14823" width="16.59765625" style="1" customWidth="1"/>
    <col min="14824" max="14834" width="7.296875" style="1" customWidth="1"/>
    <col min="14835" max="15078" width="9.09765625" style="1"/>
    <col min="15079" max="15079" width="16.59765625" style="1" customWidth="1"/>
    <col min="15080" max="15090" width="7.296875" style="1" customWidth="1"/>
    <col min="15091" max="15334" width="9.09765625" style="1"/>
    <col min="15335" max="15335" width="16.59765625" style="1" customWidth="1"/>
    <col min="15336" max="15346" width="7.296875" style="1" customWidth="1"/>
    <col min="15347" max="15590" width="9.09765625" style="1"/>
    <col min="15591" max="15591" width="16.59765625" style="1" customWidth="1"/>
    <col min="15592" max="15602" width="7.296875" style="1" customWidth="1"/>
    <col min="15603" max="15846" width="9.09765625" style="1"/>
    <col min="15847" max="15847" width="16.59765625" style="1" customWidth="1"/>
    <col min="15848" max="15858" width="7.296875" style="1" customWidth="1"/>
    <col min="15859" max="16102" width="9.09765625" style="1"/>
    <col min="16103" max="16103" width="16.59765625" style="1" customWidth="1"/>
    <col min="16104" max="16114" width="7.296875" style="1" customWidth="1"/>
    <col min="16115" max="16384" width="9.09765625" style="1"/>
  </cols>
  <sheetData>
    <row r="1" spans="1:251"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4"/>
    </row>
    <row r="2" spans="1:251">
      <c r="B2" s="2" t="s">
        <v>1</v>
      </c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1:251">
      <c r="B3" s="5" t="s">
        <v>2</v>
      </c>
      <c r="C3" s="5"/>
    </row>
    <row r="5" spans="1:251" ht="34.799999999999997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1:251">
      <c r="A6" s="5" t="s">
        <v>37</v>
      </c>
      <c r="B6" s="6"/>
      <c r="C6" s="6"/>
      <c r="D6" s="6"/>
      <c r="E6" s="6"/>
      <c r="F6" s="6"/>
      <c r="G6" s="6"/>
      <c r="H6" s="6"/>
      <c r="I6" s="6"/>
      <c r="J6" s="6"/>
      <c r="K6" s="6"/>
      <c r="L6" s="5" t="s">
        <v>40</v>
      </c>
      <c r="M6" s="6"/>
      <c r="N6" s="50"/>
      <c r="O6" s="6"/>
    </row>
    <row r="7" spans="1:251">
      <c r="A7" s="5" t="s">
        <v>38</v>
      </c>
      <c r="B7" s="34"/>
      <c r="C7" s="6"/>
      <c r="D7" s="6"/>
      <c r="E7" s="6"/>
      <c r="F7" s="6"/>
      <c r="G7" s="6"/>
      <c r="H7" s="6"/>
      <c r="I7" s="6"/>
      <c r="J7" s="6"/>
      <c r="K7" s="6"/>
      <c r="L7" s="5" t="s">
        <v>5</v>
      </c>
      <c r="M7" s="6"/>
      <c r="N7" s="6"/>
      <c r="O7" s="6"/>
    </row>
    <row r="8" spans="1:251">
      <c r="A8" s="5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5" t="s">
        <v>7</v>
      </c>
      <c r="M8" s="6"/>
      <c r="N8" s="6"/>
      <c r="O8" s="6"/>
    </row>
    <row r="9" spans="1:251">
      <c r="A9" s="5" t="s">
        <v>39</v>
      </c>
      <c r="B9" s="6"/>
      <c r="C9" s="4"/>
      <c r="D9" s="8"/>
      <c r="E9" s="8"/>
      <c r="F9" s="8"/>
      <c r="G9" s="8"/>
      <c r="H9" s="8"/>
      <c r="I9" s="8"/>
      <c r="J9" s="8"/>
      <c r="K9" s="8"/>
      <c r="L9" s="5" t="s">
        <v>9</v>
      </c>
      <c r="M9" s="10"/>
      <c r="N9" s="35"/>
      <c r="O9" s="6"/>
    </row>
    <row r="10" spans="1:251">
      <c r="A10" s="5" t="s">
        <v>6</v>
      </c>
      <c r="B10" s="34"/>
      <c r="D10" s="9"/>
      <c r="E10" s="9"/>
      <c r="F10" s="9"/>
      <c r="G10" s="9"/>
      <c r="H10" s="9"/>
      <c r="I10" s="9"/>
      <c r="J10" s="9"/>
      <c r="K10" s="9"/>
      <c r="L10" s="5" t="s">
        <v>11</v>
      </c>
      <c r="M10" s="8"/>
      <c r="N10" s="39"/>
      <c r="O10" s="10"/>
    </row>
    <row r="11" spans="1:251">
      <c r="A11" s="5" t="s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5" t="s">
        <v>10</v>
      </c>
      <c r="N11" s="39"/>
      <c r="O11" s="8"/>
    </row>
    <row r="12" spans="1:251" ht="16.2" thickBot="1">
      <c r="A12" s="5" t="s">
        <v>12</v>
      </c>
      <c r="B12" s="38"/>
    </row>
    <row r="13" spans="1:25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251" ht="16.8" thickBot="1">
      <c r="A14" s="12" t="s">
        <v>34</v>
      </c>
      <c r="B14" s="13"/>
    </row>
    <row r="15" spans="1:251" ht="33" thickTop="1">
      <c r="A15" s="14" t="s">
        <v>13</v>
      </c>
      <c r="B15" s="14" t="s">
        <v>30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 t="s">
        <v>14</v>
      </c>
      <c r="N15" s="14" t="s">
        <v>15</v>
      </c>
      <c r="O15" s="15" t="s">
        <v>33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</row>
    <row r="16" spans="1:251">
      <c r="A16" s="27"/>
      <c r="B16" s="28"/>
      <c r="C16" s="33"/>
      <c r="D16" s="44"/>
      <c r="E16" s="43"/>
      <c r="F16" s="29"/>
      <c r="G16" s="29"/>
      <c r="H16" s="29"/>
      <c r="I16" s="29"/>
      <c r="J16" s="29"/>
      <c r="K16" s="29"/>
      <c r="L16" s="29"/>
      <c r="M16" s="30">
        <f>SUM(C16:L16)</f>
        <v>0</v>
      </c>
      <c r="N16" s="30">
        <v>1</v>
      </c>
      <c r="O16" s="40">
        <f>$N11</f>
        <v>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</row>
    <row r="17" spans="1:260">
      <c r="A17" s="27"/>
      <c r="B17" s="28"/>
      <c r="C17" s="33"/>
      <c r="D17" s="33"/>
      <c r="E17" s="41"/>
      <c r="F17" s="29"/>
      <c r="G17" s="29"/>
      <c r="H17" s="29"/>
      <c r="I17" s="29"/>
      <c r="J17" s="29"/>
      <c r="K17" s="29"/>
      <c r="L17" s="29"/>
      <c r="M17" s="30">
        <f>SUM(C17:L17)</f>
        <v>0</v>
      </c>
      <c r="N17" s="30"/>
      <c r="O17" s="40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</row>
    <row r="18" spans="1:260">
      <c r="A18" s="27"/>
      <c r="B18" s="28"/>
      <c r="C18" s="33"/>
      <c r="D18" s="33"/>
      <c r="E18" s="41"/>
      <c r="F18" s="29"/>
      <c r="G18" s="29"/>
      <c r="H18" s="29"/>
      <c r="I18" s="29"/>
      <c r="J18" s="29"/>
      <c r="K18" s="29"/>
      <c r="L18" s="29"/>
      <c r="M18" s="30">
        <f>SUM(C18:L18)</f>
        <v>0</v>
      </c>
      <c r="N18" s="30"/>
      <c r="O18" s="40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</row>
    <row r="19" spans="1:260">
      <c r="A19" s="27"/>
      <c r="B19" s="28"/>
      <c r="C19" s="33"/>
      <c r="D19" s="33"/>
      <c r="E19" s="41"/>
      <c r="F19" s="29"/>
      <c r="G19" s="29"/>
      <c r="H19" s="29"/>
      <c r="I19" s="29"/>
      <c r="J19" s="29"/>
      <c r="K19" s="29"/>
      <c r="L19" s="29"/>
      <c r="M19" s="30">
        <f>SUM(C19:L19)</f>
        <v>0</v>
      </c>
      <c r="N19" s="30"/>
      <c r="O19" s="40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</row>
    <row r="20" spans="1:260">
      <c r="A20" s="27"/>
      <c r="B20" s="28"/>
      <c r="C20" s="33"/>
      <c r="D20" s="33"/>
      <c r="E20" s="29"/>
      <c r="F20" s="29"/>
      <c r="G20" s="29"/>
      <c r="H20" s="29"/>
      <c r="I20" s="29"/>
      <c r="J20" s="29"/>
      <c r="K20" s="29"/>
      <c r="L20" s="29"/>
      <c r="M20" s="30">
        <f>SUM(C20:L20)</f>
        <v>0</v>
      </c>
      <c r="N20" s="30"/>
      <c r="O20" s="37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</row>
    <row r="21" spans="1:260" ht="21" customHeight="1" thickBot="1">
      <c r="A21" s="17" t="s">
        <v>28</v>
      </c>
      <c r="B21" s="18"/>
      <c r="C21" s="18">
        <f>SUM(C16:C20)</f>
        <v>0</v>
      </c>
      <c r="D21" s="18">
        <f t="shared" ref="D21:M21" si="0">SUM(D16:D20)</f>
        <v>0</v>
      </c>
      <c r="E21" s="18">
        <f t="shared" si="0"/>
        <v>0</v>
      </c>
      <c r="F21" s="18">
        <f t="shared" si="0"/>
        <v>0</v>
      </c>
      <c r="G21" s="18">
        <f t="shared" si="0"/>
        <v>0</v>
      </c>
      <c r="H21" s="18">
        <f t="shared" si="0"/>
        <v>0</v>
      </c>
      <c r="I21" s="18">
        <f t="shared" si="0"/>
        <v>0</v>
      </c>
      <c r="J21" s="18">
        <f t="shared" si="0"/>
        <v>0</v>
      </c>
      <c r="K21" s="18">
        <f t="shared" si="0"/>
        <v>0</v>
      </c>
      <c r="L21" s="18">
        <f t="shared" si="0"/>
        <v>0</v>
      </c>
      <c r="M21" s="19">
        <f t="shared" si="0"/>
        <v>0</v>
      </c>
      <c r="N21" s="19"/>
      <c r="O21" s="20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</row>
    <row r="22" spans="1:260" ht="16.2" thickTop="1">
      <c r="A22" s="36" t="s">
        <v>15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</row>
    <row r="23" spans="1:260" ht="16.8" thickBot="1">
      <c r="A23" s="12" t="s">
        <v>35</v>
      </c>
      <c r="B23" s="13"/>
    </row>
    <row r="24" spans="1:260" ht="33" thickTop="1">
      <c r="A24" s="14" t="s">
        <v>13</v>
      </c>
      <c r="B24" s="14" t="s">
        <v>30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 t="s">
        <v>14</v>
      </c>
      <c r="N24" s="14" t="s">
        <v>15</v>
      </c>
      <c r="O24" s="15" t="s">
        <v>33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</row>
    <row r="25" spans="1:260">
      <c r="A25" s="27">
        <f>$A$16</f>
        <v>0</v>
      </c>
      <c r="B25" s="28">
        <f>$B16</f>
        <v>0</v>
      </c>
      <c r="C25" s="33"/>
      <c r="D25" s="33"/>
      <c r="E25" s="33"/>
      <c r="F25" s="29"/>
      <c r="G25" s="29"/>
      <c r="H25" s="29"/>
      <c r="I25" s="29"/>
      <c r="J25" s="29"/>
      <c r="K25" s="29"/>
      <c r="L25" s="29"/>
      <c r="M25" s="30">
        <f>SUM(C25:L25)</f>
        <v>0</v>
      </c>
      <c r="N25" s="30">
        <v>1</v>
      </c>
      <c r="O25" s="40">
        <v>45945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</row>
    <row r="26" spans="1:260">
      <c r="A26" s="27">
        <f>$A$17</f>
        <v>0</v>
      </c>
      <c r="B26" s="28">
        <f>$B17</f>
        <v>0</v>
      </c>
      <c r="C26" s="33"/>
      <c r="D26" s="33"/>
      <c r="E26" s="41"/>
      <c r="F26" s="29"/>
      <c r="G26" s="29"/>
      <c r="H26" s="29"/>
      <c r="I26" s="29"/>
      <c r="J26" s="29"/>
      <c r="K26" s="29"/>
      <c r="L26" s="29"/>
      <c r="M26" s="30">
        <f>SUM(C26:L26)</f>
        <v>0</v>
      </c>
      <c r="N26" s="30"/>
      <c r="O26" s="40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</row>
    <row r="27" spans="1:260">
      <c r="A27" s="27">
        <f>$A$18</f>
        <v>0</v>
      </c>
      <c r="B27" s="28">
        <f>$B18</f>
        <v>0</v>
      </c>
      <c r="C27" s="33"/>
      <c r="D27" s="33"/>
      <c r="E27" s="41"/>
      <c r="F27" s="29"/>
      <c r="G27" s="29"/>
      <c r="H27" s="29"/>
      <c r="I27" s="29"/>
      <c r="J27" s="29"/>
      <c r="K27" s="29"/>
      <c r="L27" s="29"/>
      <c r="M27" s="30">
        <f>SUM(C27:L27)</f>
        <v>0</v>
      </c>
      <c r="N27" s="30"/>
      <c r="O27" s="40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</row>
    <row r="28" spans="1:260">
      <c r="A28" s="27">
        <f>$A$19</f>
        <v>0</v>
      </c>
      <c r="B28" s="28">
        <f>$B19</f>
        <v>0</v>
      </c>
      <c r="C28" s="33"/>
      <c r="D28" s="33"/>
      <c r="E28" s="41"/>
      <c r="F28" s="29"/>
      <c r="G28" s="29"/>
      <c r="H28" s="29"/>
      <c r="I28" s="29"/>
      <c r="J28" s="29"/>
      <c r="K28" s="29"/>
      <c r="L28" s="29"/>
      <c r="M28" s="30">
        <f>SUM(C28:L28)</f>
        <v>0</v>
      </c>
      <c r="N28" s="30"/>
      <c r="O28" s="40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</row>
    <row r="29" spans="1:260">
      <c r="A29" s="27">
        <f>$A$20</f>
        <v>0</v>
      </c>
      <c r="B29" s="28">
        <f>$B20</f>
        <v>0</v>
      </c>
      <c r="C29" s="33"/>
      <c r="D29" s="33"/>
      <c r="E29" s="29"/>
      <c r="F29" s="29"/>
      <c r="G29" s="29"/>
      <c r="H29" s="29"/>
      <c r="I29" s="29"/>
      <c r="J29" s="29"/>
      <c r="K29" s="29"/>
      <c r="L29" s="29"/>
      <c r="M29" s="30">
        <f>SUM(C29:L29)</f>
        <v>0</v>
      </c>
      <c r="N29" s="30"/>
      <c r="O29" s="37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</row>
    <row r="30" spans="1:260" ht="21" customHeight="1" thickBot="1">
      <c r="A30" s="17" t="s">
        <v>28</v>
      </c>
      <c r="B30" s="18"/>
      <c r="C30" s="18">
        <f>SUM(C25:C29)</f>
        <v>0</v>
      </c>
      <c r="D30" s="18">
        <f t="shared" ref="D30:L30" si="1">SUM(D25:D29)</f>
        <v>0</v>
      </c>
      <c r="E30" s="18">
        <f t="shared" si="1"/>
        <v>0</v>
      </c>
      <c r="F30" s="18">
        <f t="shared" si="1"/>
        <v>0</v>
      </c>
      <c r="G30" s="18">
        <f t="shared" si="1"/>
        <v>0</v>
      </c>
      <c r="H30" s="18">
        <f t="shared" si="1"/>
        <v>0</v>
      </c>
      <c r="I30" s="18">
        <f t="shared" si="1"/>
        <v>0</v>
      </c>
      <c r="J30" s="18">
        <f t="shared" si="1"/>
        <v>0</v>
      </c>
      <c r="K30" s="18">
        <f t="shared" si="1"/>
        <v>0</v>
      </c>
      <c r="L30" s="18">
        <f t="shared" si="1"/>
        <v>0</v>
      </c>
      <c r="M30" s="19">
        <f>SUM(M25:M29)</f>
        <v>0</v>
      </c>
      <c r="N30" s="19"/>
      <c r="O30" s="20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</row>
    <row r="31" spans="1:260" ht="16.2" thickTop="1">
      <c r="A31" s="36" t="s">
        <v>15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</row>
    <row r="32" spans="1:260" ht="16.8" thickBot="1">
      <c r="A32" s="12" t="s">
        <v>31</v>
      </c>
      <c r="B32" s="13"/>
    </row>
    <row r="33" spans="1:260" ht="31.8" thickTop="1">
      <c r="A33" s="14" t="s">
        <v>13</v>
      </c>
      <c r="B33" s="14" t="s">
        <v>30</v>
      </c>
      <c r="C33" s="14">
        <f>$C15</f>
        <v>0</v>
      </c>
      <c r="D33" s="14">
        <f>$D15</f>
        <v>0</v>
      </c>
      <c r="E33" s="14">
        <f>$E15</f>
        <v>0</v>
      </c>
      <c r="F33" s="14">
        <f>$F15</f>
        <v>0</v>
      </c>
      <c r="G33" s="14">
        <f>$G15</f>
        <v>0</v>
      </c>
      <c r="H33" s="14">
        <f>$H15</f>
        <v>0</v>
      </c>
      <c r="I33" s="14">
        <f>$I15</f>
        <v>0</v>
      </c>
      <c r="J33" s="14">
        <f>$J15</f>
        <v>0</v>
      </c>
      <c r="K33" s="14">
        <f>$K15</f>
        <v>0</v>
      </c>
      <c r="L33" s="14">
        <f>$L15</f>
        <v>0</v>
      </c>
      <c r="M33" s="14" t="s">
        <v>14</v>
      </c>
      <c r="N33" s="14" t="s">
        <v>15</v>
      </c>
      <c r="O33" s="15" t="s">
        <v>29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</row>
    <row r="34" spans="1:260">
      <c r="A34" s="27">
        <f>$A$16</f>
        <v>0</v>
      </c>
      <c r="B34" s="28">
        <f>$B16</f>
        <v>0</v>
      </c>
      <c r="C34" s="33">
        <f>+C16+C25</f>
        <v>0</v>
      </c>
      <c r="D34" s="33">
        <f t="shared" ref="D34:M34" si="2">+D16+D25</f>
        <v>0</v>
      </c>
      <c r="E34" s="33">
        <f t="shared" si="2"/>
        <v>0</v>
      </c>
      <c r="F34" s="33">
        <f t="shared" si="2"/>
        <v>0</v>
      </c>
      <c r="G34" s="33">
        <f t="shared" si="2"/>
        <v>0</v>
      </c>
      <c r="H34" s="33">
        <f t="shared" si="2"/>
        <v>0</v>
      </c>
      <c r="I34" s="33">
        <f t="shared" si="2"/>
        <v>0</v>
      </c>
      <c r="J34" s="33">
        <f t="shared" si="2"/>
        <v>0</v>
      </c>
      <c r="K34" s="33">
        <f t="shared" si="2"/>
        <v>0</v>
      </c>
      <c r="L34" s="33">
        <f t="shared" si="2"/>
        <v>0</v>
      </c>
      <c r="M34" s="33">
        <f t="shared" si="2"/>
        <v>0</v>
      </c>
      <c r="N34" s="30">
        <v>1</v>
      </c>
      <c r="O34" s="37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</row>
    <row r="35" spans="1:260">
      <c r="A35" s="27">
        <f>$A$17</f>
        <v>0</v>
      </c>
      <c r="B35" s="28">
        <f>$B17</f>
        <v>0</v>
      </c>
      <c r="C35" s="33">
        <f>+C17+C26</f>
        <v>0</v>
      </c>
      <c r="D35" s="33">
        <f t="shared" ref="D35:M35" si="3">+D17+D26</f>
        <v>0</v>
      </c>
      <c r="E35" s="33">
        <f t="shared" si="3"/>
        <v>0</v>
      </c>
      <c r="F35" s="33">
        <f t="shared" si="3"/>
        <v>0</v>
      </c>
      <c r="G35" s="33">
        <f t="shared" si="3"/>
        <v>0</v>
      </c>
      <c r="H35" s="33">
        <f t="shared" si="3"/>
        <v>0</v>
      </c>
      <c r="I35" s="33">
        <f t="shared" si="3"/>
        <v>0</v>
      </c>
      <c r="J35" s="33">
        <f t="shared" si="3"/>
        <v>0</v>
      </c>
      <c r="K35" s="33">
        <f t="shared" si="3"/>
        <v>0</v>
      </c>
      <c r="L35" s="33">
        <f t="shared" si="3"/>
        <v>0</v>
      </c>
      <c r="M35" s="33">
        <f t="shared" si="3"/>
        <v>0</v>
      </c>
      <c r="N35" s="30"/>
      <c r="O35" s="37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</row>
    <row r="36" spans="1:260">
      <c r="A36" s="27">
        <f>$A$18</f>
        <v>0</v>
      </c>
      <c r="B36" s="28">
        <f>$B18</f>
        <v>0</v>
      </c>
      <c r="C36" s="33">
        <f>+C18+C27</f>
        <v>0</v>
      </c>
      <c r="D36" s="33">
        <f t="shared" ref="D36:M36" si="4">+D18+D27</f>
        <v>0</v>
      </c>
      <c r="E36" s="33">
        <f t="shared" si="4"/>
        <v>0</v>
      </c>
      <c r="F36" s="33">
        <f t="shared" si="4"/>
        <v>0</v>
      </c>
      <c r="G36" s="33">
        <f t="shared" si="4"/>
        <v>0</v>
      </c>
      <c r="H36" s="33">
        <f t="shared" si="4"/>
        <v>0</v>
      </c>
      <c r="I36" s="33">
        <f t="shared" si="4"/>
        <v>0</v>
      </c>
      <c r="J36" s="33">
        <f t="shared" si="4"/>
        <v>0</v>
      </c>
      <c r="K36" s="33">
        <f t="shared" si="4"/>
        <v>0</v>
      </c>
      <c r="L36" s="33">
        <f t="shared" si="4"/>
        <v>0</v>
      </c>
      <c r="M36" s="33">
        <f t="shared" si="4"/>
        <v>0</v>
      </c>
      <c r="N36" s="30"/>
      <c r="O36" s="37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</row>
    <row r="37" spans="1:260">
      <c r="A37" s="27">
        <f>$A$18</f>
        <v>0</v>
      </c>
      <c r="B37" s="28">
        <f>$B19</f>
        <v>0</v>
      </c>
      <c r="C37" s="33">
        <f>+C19+C28</f>
        <v>0</v>
      </c>
      <c r="D37" s="33">
        <f t="shared" ref="D37:M37" si="5">+D19+D28</f>
        <v>0</v>
      </c>
      <c r="E37" s="33">
        <f t="shared" si="5"/>
        <v>0</v>
      </c>
      <c r="F37" s="33">
        <f t="shared" si="5"/>
        <v>0</v>
      </c>
      <c r="G37" s="33">
        <f t="shared" si="5"/>
        <v>0</v>
      </c>
      <c r="H37" s="33">
        <f t="shared" si="5"/>
        <v>0</v>
      </c>
      <c r="I37" s="33">
        <f t="shared" si="5"/>
        <v>0</v>
      </c>
      <c r="J37" s="33">
        <f t="shared" si="5"/>
        <v>0</v>
      </c>
      <c r="K37" s="33">
        <f t="shared" si="5"/>
        <v>0</v>
      </c>
      <c r="L37" s="33">
        <f t="shared" si="5"/>
        <v>0</v>
      </c>
      <c r="M37" s="33">
        <f t="shared" si="5"/>
        <v>0</v>
      </c>
      <c r="N37" s="30"/>
      <c r="O37" s="37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</row>
    <row r="38" spans="1:260" ht="21" customHeight="1">
      <c r="A38" s="27">
        <f>$A$20</f>
        <v>0</v>
      </c>
      <c r="B38" s="28">
        <f>$B20</f>
        <v>0</v>
      </c>
      <c r="C38" s="33">
        <f>+C20+C29</f>
        <v>0</v>
      </c>
      <c r="D38" s="33">
        <f>+D20+D29</f>
        <v>0</v>
      </c>
      <c r="E38" s="33">
        <f t="shared" ref="E38:L38" si="6">+E20+E29</f>
        <v>0</v>
      </c>
      <c r="F38" s="33">
        <f t="shared" si="6"/>
        <v>0</v>
      </c>
      <c r="G38" s="33">
        <f t="shared" si="6"/>
        <v>0</v>
      </c>
      <c r="H38" s="33">
        <f t="shared" si="6"/>
        <v>0</v>
      </c>
      <c r="I38" s="33">
        <f t="shared" si="6"/>
        <v>0</v>
      </c>
      <c r="J38" s="33">
        <f t="shared" si="6"/>
        <v>0</v>
      </c>
      <c r="K38" s="33">
        <f t="shared" si="6"/>
        <v>0</v>
      </c>
      <c r="L38" s="33">
        <f t="shared" si="6"/>
        <v>0</v>
      </c>
      <c r="M38" s="46">
        <f>+M20+M29</f>
        <v>0</v>
      </c>
      <c r="N38" s="30"/>
      <c r="O38" s="37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</row>
    <row r="39" spans="1:260" ht="21" customHeight="1" thickBot="1">
      <c r="A39" s="17" t="s">
        <v>28</v>
      </c>
      <c r="B39" s="18"/>
      <c r="C39" s="18">
        <f t="shared" ref="C39:M39" si="7">SUM(C34:C38)</f>
        <v>0</v>
      </c>
      <c r="D39" s="18">
        <f t="shared" si="7"/>
        <v>0</v>
      </c>
      <c r="E39" s="18">
        <f t="shared" si="7"/>
        <v>0</v>
      </c>
      <c r="F39" s="18">
        <f t="shared" si="7"/>
        <v>0</v>
      </c>
      <c r="G39" s="18">
        <f t="shared" si="7"/>
        <v>0</v>
      </c>
      <c r="H39" s="18">
        <f t="shared" si="7"/>
        <v>0</v>
      </c>
      <c r="I39" s="18">
        <f t="shared" si="7"/>
        <v>0</v>
      </c>
      <c r="J39" s="18">
        <f t="shared" si="7"/>
        <v>0</v>
      </c>
      <c r="K39" s="18">
        <f t="shared" si="7"/>
        <v>0</v>
      </c>
      <c r="L39" s="18">
        <f t="shared" si="7"/>
        <v>0</v>
      </c>
      <c r="M39" s="19">
        <f t="shared" si="7"/>
        <v>0</v>
      </c>
      <c r="N39" s="19"/>
      <c r="O39" s="20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</row>
    <row r="40" spans="1:260" ht="16.2" thickTop="1">
      <c r="A40" s="36" t="s">
        <v>15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</row>
    <row r="41" spans="1:260" ht="6" customHeight="1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</row>
    <row r="42" spans="1:260">
      <c r="A42" s="31" t="s">
        <v>16</v>
      </c>
      <c r="D42" s="42" t="s">
        <v>17</v>
      </c>
      <c r="E42" s="42"/>
      <c r="F42" s="31" t="s">
        <v>18</v>
      </c>
      <c r="G42" s="31" t="s">
        <v>27</v>
      </c>
      <c r="H42" s="31"/>
      <c r="I42" s="31" t="s">
        <v>19</v>
      </c>
      <c r="J42" s="4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</row>
    <row r="43" spans="1:260">
      <c r="A43" s="31" t="s">
        <v>20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</row>
    <row r="44" spans="1:260">
      <c r="A44" s="31" t="s">
        <v>21</v>
      </c>
      <c r="B44" s="31" t="s">
        <v>41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</row>
    <row r="45" spans="1:260">
      <c r="A45" s="31" t="s">
        <v>22</v>
      </c>
      <c r="B45" s="31" t="s">
        <v>42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</row>
    <row r="46" spans="1:260">
      <c r="A46" s="31" t="s">
        <v>23</v>
      </c>
      <c r="B46" s="31" t="s">
        <v>42</v>
      </c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</row>
    <row r="47" spans="1:260" s="16" customFormat="1">
      <c r="M47" s="24"/>
    </row>
    <row r="48" spans="1:260" ht="15.6" customHeight="1">
      <c r="A48" s="47" t="s">
        <v>24</v>
      </c>
      <c r="B48" s="48"/>
      <c r="C48" s="48"/>
      <c r="D48" s="56" t="s">
        <v>25</v>
      </c>
      <c r="E48" s="56"/>
      <c r="F48" s="56"/>
      <c r="G48" s="56"/>
      <c r="H48" s="48"/>
      <c r="I48" s="48"/>
      <c r="J48" s="56" t="s">
        <v>32</v>
      </c>
      <c r="K48" s="56"/>
      <c r="L48" s="56"/>
      <c r="M48" s="24"/>
      <c r="N48" s="24"/>
      <c r="O48" s="48" t="s">
        <v>36</v>
      </c>
      <c r="P48" s="48"/>
      <c r="Q48" s="48"/>
    </row>
    <row r="49" spans="1:15" s="25" customFormat="1" ht="24.6" customHeight="1">
      <c r="A49" s="49" t="s">
        <v>26</v>
      </c>
      <c r="B49" s="3"/>
      <c r="C49" s="4"/>
      <c r="D49" s="58" t="s">
        <v>26</v>
      </c>
      <c r="E49" s="58"/>
      <c r="F49" s="58"/>
      <c r="G49" s="58"/>
      <c r="H49" s="3"/>
      <c r="I49" s="3"/>
      <c r="J49" s="57" t="s">
        <v>26</v>
      </c>
      <c r="K49" s="57"/>
      <c r="L49" s="57"/>
      <c r="M49" s="26"/>
      <c r="N49" s="26"/>
      <c r="O49" s="26" t="s">
        <v>26</v>
      </c>
    </row>
    <row r="50" spans="1:15" s="16" customFormat="1" ht="25.2" customHeight="1">
      <c r="M50" s="32"/>
      <c r="O50" s="51"/>
    </row>
    <row r="51" spans="1:15" s="51" customForma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O51" s="49"/>
    </row>
    <row r="52" spans="1:15" s="49" customFormat="1">
      <c r="O52" s="53"/>
    </row>
    <row r="53" spans="1:15" s="53" customFormat="1">
      <c r="A53" s="55"/>
      <c r="B53" s="55"/>
      <c r="K53" s="55"/>
      <c r="L53" s="55"/>
    </row>
    <row r="54" spans="1:15" s="49" customFormat="1"/>
    <row r="55" spans="1:15" s="49" customFormat="1"/>
    <row r="56" spans="1:15" s="49" customFormat="1"/>
    <row r="64" spans="1:15">
      <c r="O64" s="45"/>
    </row>
  </sheetData>
  <mergeCells count="7">
    <mergeCell ref="A5:O5"/>
    <mergeCell ref="A53:B53"/>
    <mergeCell ref="K53:L53"/>
    <mergeCell ref="D48:G48"/>
    <mergeCell ref="J48:L48"/>
    <mergeCell ref="J49:L49"/>
    <mergeCell ref="D49:G49"/>
  </mergeCells>
  <phoneticPr fontId="15" type="noConversion"/>
  <printOptions horizontalCentered="1"/>
  <pageMargins left="0.19685039370078741" right="0.19685039370078741" top="0.23622047244094491" bottom="0.35433070866141736" header="0.31496062992125984" footer="0.31496062992125984"/>
  <pageSetup paperSize="9" scale="7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5" r:id="rId4" name="Check Box 5">
              <controlPr defaultSize="0" autoFill="0" autoLine="0" autoPict="0">
                <anchor moveWithCells="1">
                  <from>
                    <xdr:col>4</xdr:col>
                    <xdr:colOff>190500</xdr:colOff>
                    <xdr:row>41</xdr:row>
                    <xdr:rowOff>30480</xdr:rowOff>
                  </from>
                  <to>
                    <xdr:col>4</xdr:col>
                    <xdr:colOff>419100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5" name="Check Box 6">
              <controlPr defaultSize="0" autoFill="0" autoLine="0" autoPict="0">
                <anchor moveWithCells="1">
                  <from>
                    <xdr:col>5</xdr:col>
                    <xdr:colOff>228600</xdr:colOff>
                    <xdr:row>41</xdr:row>
                    <xdr:rowOff>30480</xdr:rowOff>
                  </from>
                  <to>
                    <xdr:col>5</xdr:col>
                    <xdr:colOff>457200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6" name="Check Box 7">
              <controlPr defaultSize="0" autoFill="0" autoLine="0" autoPict="0">
                <anchor moveWithCells="1">
                  <from>
                    <xdr:col>6</xdr:col>
                    <xdr:colOff>281940</xdr:colOff>
                    <xdr:row>41</xdr:row>
                    <xdr:rowOff>30480</xdr:rowOff>
                  </from>
                  <to>
                    <xdr:col>6</xdr:col>
                    <xdr:colOff>510540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7" name="Check Box 8">
              <controlPr defaultSize="0" autoFill="0" autoLine="0" autoPict="0">
                <anchor moveWithCells="1">
                  <from>
                    <xdr:col>7</xdr:col>
                    <xdr:colOff>342900</xdr:colOff>
                    <xdr:row>41</xdr:row>
                    <xdr:rowOff>30480</xdr:rowOff>
                  </from>
                  <to>
                    <xdr:col>7</xdr:col>
                    <xdr:colOff>571500</xdr:colOff>
                    <xdr:row>42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VINVALLEN WOMEN PANT</vt:lpstr>
      <vt:lpstr>'VINVALLEN WOMEN PANT'!Print_Area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CFNB00530</dc:creator>
  <cp:lastModifiedBy>Thắng Nguyễn</cp:lastModifiedBy>
  <cp:lastPrinted>2025-02-10T03:38:11Z</cp:lastPrinted>
  <dcterms:created xsi:type="dcterms:W3CDTF">2022-10-27T15:55:51Z</dcterms:created>
  <dcterms:modified xsi:type="dcterms:W3CDTF">2025-07-21T07:27:04Z</dcterms:modified>
</cp:coreProperties>
</file>